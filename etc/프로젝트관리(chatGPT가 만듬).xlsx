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BF4AAE48-F1FA-415C-A907-CDE2C2FDB9BE}" xr6:coauthVersionLast="36" xr6:coauthVersionMax="36" xr10:uidLastSave="{00000000-0000-0000-0000-000000000000}"/>
  <bookViews>
    <workbookView xWindow="0" yWindow="0" windowWidth="28800" windowHeight="13470" xr2:uid="{00000000-000D-0000-FFFF-FFFF00000000}"/>
  </bookViews>
  <sheets>
    <sheet name="2주 간트 차트" sheetId="1" r:id="rId1"/>
  </sheets>
  <calcPr calcId="179021"/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<sst xmlns="http://schemas.openxmlformats.org/spreadsheetml/2006/main" count="109" uniqueCount="69">
  <si>
    <t>4인 AI 예측 서비스 프로젝트  |  14일 출근 간트 차트</t>
  </si>
  <si>
    <t>2026.09.23 · 09.28~10.10  |  ML·DL 비교 → Flask 예측 → 통합</t>
  </si>
  <si>
    <t>담당 1  데이터 · 전처리 · 품질</t>
  </si>
  <si>
    <t>담당 2  머신러닝 · 평가</t>
  </si>
  <si>
    <t>담당 3  딥러닝 · 추론 파이프라인</t>
  </si>
  <si>
    <t>담당 4  Flask · 화면 · 통합</t>
  </si>
  <si>
    <t>작업 계획  |  노란색 시작·종료 날짜 수정 가능</t>
  </si>
  <si>
    <t>첫 구간  9/23 · 9/28~10/3</t>
  </si>
  <si>
    <t>둘째 구간  10/4~10/10</t>
  </si>
  <si>
    <t>단계</t>
  </si>
  <si>
    <t>작업 내용</t>
  </si>
  <si>
    <t>주담당</t>
  </si>
  <si>
    <t>협업</t>
  </si>
  <si>
    <t>시작일</t>
  </si>
  <si>
    <t>종료일</t>
  </si>
  <si>
    <t>출근일</t>
  </si>
  <si>
    <t>완료 산출물</t>
  </si>
  <si>
    <t>기획</t>
  </si>
  <si>
    <t>목표·예측값·평가 지표 확정</t>
  </si>
  <si>
    <t>담당 2</t>
  </si>
  <si>
    <t>전원</t>
  </si>
  <si>
    <t>한 장짜리 요구사항</t>
  </si>
  <si>
    <t>데이터 컬럼·API 입출력 확정</t>
  </si>
  <si>
    <t>담당 4</t>
  </si>
  <si>
    <t>담당 1</t>
  </si>
  <si>
    <t>데이터·API 계약</t>
  </si>
  <si>
    <t>데이터</t>
  </si>
  <si>
    <t>데이터 확보·스키마 점검</t>
  </si>
  <si>
    <t>원본 데이터·컬럼 정의</t>
  </si>
  <si>
    <t>EDA·누락·이상값 점검</t>
  </si>
  <si>
    <t>핵심 EDA·누수 점검</t>
  </si>
  <si>
    <t>전처리·피처 생성</t>
  </si>
  <si>
    <t>담당 3</t>
  </si>
  <si>
    <t>공용 전처리 코드</t>
  </si>
  <si>
    <t>학습/검증/시험 데이터 분리</t>
  </si>
  <si>
    <t>담당 2·3</t>
  </si>
  <si>
    <t>고정 분할 데이터</t>
  </si>
  <si>
    <t>머신러닝</t>
  </si>
  <si>
    <t>기준 모델 학습·평가</t>
  </si>
  <si>
    <t>기준 성능 표</t>
  </si>
  <si>
    <t>ML 2종 비교·오류 분석</t>
  </si>
  <si>
    <t>모델 비교·오류 사례</t>
  </si>
  <si>
    <t>ML 최종 모델 정리</t>
  </si>
  <si>
    <t>저장된 ML 모델</t>
  </si>
  <si>
    <t>딥러닝</t>
  </si>
  <si>
    <t>작은 DL 모델·입력 구성</t>
  </si>
  <si>
    <t>DL 학습 코드</t>
  </si>
  <si>
    <t>DL 학습·동일 기준 평가</t>
  </si>
  <si>
    <t>DL 성능·오류 사례</t>
  </si>
  <si>
    <t>서비스</t>
  </si>
  <si>
    <t>Flask 구조·입력 화면</t>
  </si>
  <si>
    <t>기본 Flask 앱·화면</t>
  </si>
  <si>
    <t>임시 모델로 /predict 연결</t>
  </si>
  <si>
    <t>동작하는 예측 API</t>
  </si>
  <si>
    <t>입력 검증·결과 화면 보완</t>
  </si>
  <si>
    <t>시연 가능한 웹 화면</t>
  </si>
  <si>
    <t>통합</t>
  </si>
  <si>
    <t>최종 모델 선택·전처리 저장</t>
  </si>
  <si>
    <t>담당 1·3</t>
  </si>
  <si>
    <t>단일 추론 파일</t>
  </si>
  <si>
    <t>Flask 연결·오류·통합 테스트</t>
  </si>
  <si>
    <t>테스트 기록·수정본</t>
  </si>
  <si>
    <t>성능표·발표자료·README</t>
  </si>
  <si>
    <t>담당 1·2</t>
  </si>
  <si>
    <t>발표 자료·실행 방법</t>
  </si>
  <si>
    <t>최종 시연·리허설</t>
  </si>
  <si>
    <t>시연 및 제출물</t>
  </si>
  <si>
    <t>사용법  노란색 날짜를 바꾸면 일정 막대와 출근일 수가 바뀝니다. 9/24~9/27은 작업일에서 제외했습니다. 담당 1~4를 실제 이름으로 바꾸세요.</t>
  </si>
  <si>
    <t>범위  데이터셋 1개 · 예측 목표 1개 · ML 후보 2종 · 작은 DL 모델 1종 · Flask 예측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</si>
</sst>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8">
    <font>
      <sz val="11"/>
      <name val="Carlito"/>
    </font>
    <font>
      <b/>
      <sz val="16"/>
      <color rgb="FFFFFFFF"/>
      <name val="맑은 고딕"/>
      <family val="3"/>
      <charset val="129"/>
    </font>
    <font>
      <sz val="10"/>
      <color rgb="FFD6E4F2"/>
      <name val="맑은 고딕"/>
      <family val="3"/>
      <charset val="129"/>
    </font>
    <font>
      <b/>
      <sz val="10"/>
      <color rgb="FF34465C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25364B"/>
      <name val="맑은 고딕"/>
      <family val="3"/>
      <charset val="129"/>
    </font>
    <font>
      <sz val="9"/>
      <color rgb="FF344054"/>
      <name val="맑은 고딕"/>
      <family val="3"/>
      <charset val="129"/>
    </font>
    <font>
      <b/>
      <sz val="9"/>
      <color rgb="FF70529A"/>
      <name val="맑은 고딕"/>
      <family val="3"/>
      <charset val="129"/>
    </font>
    <font>
      <b/>
      <sz val="9"/>
      <color rgb="FF925B18"/>
      <name val="맑은 고딕"/>
      <family val="3"/>
      <charset val="129"/>
    </font>
    <font>
      <b/>
      <sz val="9"/>
      <color rgb="FF286A80"/>
      <name val="맑은 고딕"/>
      <family val="3"/>
      <charset val="129"/>
    </font>
    <font>
      <b/>
      <sz val="9"/>
      <color rgb="FF465AB6"/>
      <name val="맑은 고딕"/>
      <family val="3"/>
      <charset val="129"/>
    </font>
    <font>
      <b/>
      <sz val="9"/>
      <color rgb="FFA64D76"/>
      <name val="맑은 고딕"/>
      <family val="3"/>
      <charset val="129"/>
    </font>
    <font>
      <b/>
      <sz val="9"/>
      <color rgb="FFAF7129"/>
      <name val="맑은 고딕"/>
      <family val="3"/>
      <charset val="129"/>
    </font>
    <font>
      <b/>
      <sz val="9"/>
      <color rgb="FF377D53"/>
      <name val="맑은 고딕"/>
      <family val="3"/>
      <charset val="129"/>
    </font>
    <font>
      <b/>
      <sz val="10"/>
      <color rgb="FF396F50"/>
      <name val="맑은 고딕"/>
      <family val="3"/>
      <charset val="129"/>
    </font>
    <font>
      <sz val="9"/>
      <color rgb="FF5C6977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5263C"/>
      </patternFill>
    </fill>
    <fill>
      <patternFill patternType="solid">
        <fgColor rgb="FFEFF4F8"/>
      </patternFill>
    </fill>
    <fill>
      <patternFill patternType="solid">
        <fgColor rgb="FF294961"/>
      </patternFill>
    </fill>
    <fill>
      <patternFill patternType="solid">
        <fgColor rgb="FF223D55"/>
      </patternFill>
    </fill>
    <fill>
      <patternFill patternType="solid">
        <fgColor rgb="FFE9EEF3"/>
      </patternFill>
    </fill>
    <fill>
      <patternFill patternType="solid">
        <fgColor rgb="FFEDE7F6"/>
      </patternFill>
    </fill>
    <fill>
      <patternFill patternType="solid">
        <fgColor rgb="FFFFF8E9"/>
      </patternFill>
    </fill>
    <fill>
      <patternFill patternType="solid">
        <fgColor rgb="FFFFFFFF"/>
      </patternFill>
    </fill>
    <fill>
      <patternFill patternType="solid">
        <fgColor rgb="FFFAFBFD"/>
      </patternFill>
    </fill>
    <fill>
      <patternFill patternType="solid">
        <fgColor rgb="FFDDF0F5"/>
      </patternFill>
    </fill>
    <fill>
      <patternFill patternType="solid">
        <fgColor rgb="FFE6EAFB"/>
      </patternFill>
    </fill>
    <fill>
      <patternFill patternType="solid">
        <fgColor rgb="FFFBE6ED"/>
      </patternFill>
    </fill>
    <fill>
      <patternFill patternType="solid">
        <fgColor rgb="FFFFF0DC"/>
      </patternFill>
    </fill>
    <fill>
      <patternFill patternType="solid">
        <fgColor rgb="FFE1F3E7"/>
      </patternFill>
    </fill>
    <fill>
      <patternFill patternType="solid">
        <fgColor rgb="FFEAF4EF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CF1"/>
      </bottom>
      <diagonal/>
    </border>
  </borders>
  <cellStyleXfs count="2">
    <xf numFmtId="0" fontId="0" fillId="0" borderId="0"/>
    <xf numFmtId="0" fontId="16" fillId="0" borderId="0"/>
  </cellStyleXfs>
  <cellXfs count="21">
    <xf numFmtId="0" fontId="0" fillId="0" borderId="0" xfId="0"/>
    <xf numFmtId="0" fontId="0" fillId="2" borderId="0" xfId="1" applyNumberFormat="1" applyFont="1" applyFill="1" applyBorder="1"/>
    <xf numFmtId="0" fontId="5" fillId="6" borderId="0" xfId="1" applyNumberFormat="1" applyFont="1" applyFill="1" applyBorder="1"/>
    <xf numFmtId="176" fontId="5" fillId="6" borderId="0" xfId="1" applyNumberFormat="1" applyFont="1" applyFill="1" applyBorder="1"/>
    <xf numFmtId="0" fontId="7" fillId="7" borderId="1" xfId="1" applyNumberFormat="1" applyFont="1" applyFill="1" applyBorder="1"/>
    <xf numFmtId="0" fontId="6" fillId="0" borderId="1" xfId="1" applyNumberFormat="1" applyFont="1" applyFill="1" applyBorder="1"/>
    <xf numFmtId="176" fontId="8" fillId="8" borderId="1" xfId="1" applyNumberFormat="1" applyFont="1" applyFill="1" applyBorder="1"/>
    <xf numFmtId="0" fontId="0" fillId="9" borderId="1" xfId="1" applyNumberFormat="1" applyFont="1" applyFill="1" applyBorder="1"/>
    <xf numFmtId="0" fontId="0" fillId="10" borderId="1" xfId="1" applyNumberFormat="1" applyFont="1" applyFill="1" applyBorder="1"/>
    <xf numFmtId="0" fontId="9" fillId="11" borderId="1" xfId="1" applyNumberFormat="1" applyFont="1" applyFill="1" applyBorder="1"/>
    <xf numFmtId="0" fontId="10" fillId="12" borderId="1" xfId="1" applyNumberFormat="1" applyFont="1" applyFill="1" applyBorder="1"/>
    <xf numFmtId="0" fontId="11" fillId="13" borderId="1" xfId="1" applyNumberFormat="1" applyFont="1" applyFill="1" applyBorder="1"/>
    <xf numFmtId="0" fontId="12" fillId="14" borderId="1" xfId="1" applyNumberFormat="1" applyFont="1" applyFill="1" applyBorder="1"/>
    <xf numFmtId="0" fontId="13" fillId="15" borderId="1" xfId="1" applyNumberFormat="1" applyFont="1" applyFill="1" applyBorder="1"/>
    <xf numFmtId="0" fontId="1" fillId="2" borderId="0" xfId="1" applyNumberFormat="1" applyFont="1" applyFill="1" applyBorder="1"/>
    <xf numFmtId="0" fontId="2" fillId="2" borderId="0" xfId="1" applyNumberFormat="1" applyFont="1" applyFill="1" applyBorder="1"/>
    <xf numFmtId="0" fontId="3" fillId="3" borderId="0" xfId="1" applyNumberFormat="1" applyFont="1" applyFill="1" applyBorder="1"/>
    <xf numFmtId="0" fontId="15" fillId="17" borderId="0" xfId="1" applyNumberFormat="1" applyFont="1" applyFill="1" applyBorder="1"/>
    <xf numFmtId="0" fontId="4" fillId="4" borderId="0" xfId="1" applyNumberFormat="1" applyFont="1" applyFill="1" applyBorder="1"/>
    <xf numFmtId="0" fontId="4" fillId="5" borderId="0" xfId="1" applyNumberFormat="1" applyFont="1" applyFill="1" applyBorder="1"/>
    <xf numFmtId="0" fontId="14" fillId="16" borderId="0" xfId="1" applyNumberFormat="1" applyFont="1" applyFill="1" applyBorder="1"/>
  </cellXfs>
  <cellStyles count="2">
    <cellStyle name="Normal" xfId="1" xr:uid="{00000000-0005-0000-0000-000000000000}"/>
    <cellStyle name="표준" xfId="0" builtinId="0"/>
  </cellStyles>
  <dxfs count="18">
    <dxf>
      <fill>
        <patternFill patternType="solid">
          <bgColor rgb="FF377D53"/>
        </patternFill>
      </fill>
    </dxf>
    <dxf>
      <fill>
        <patternFill patternType="solid">
          <bgColor rgb="FF377D53"/>
        </patternFill>
      </fill>
    </dxf>
    <dxf>
      <fill>
        <patternFill patternType="solid">
          <bgColor rgb="FF377D53"/>
        </patternFill>
      </fill>
    </dxf>
    <dxf>
      <fill>
        <patternFill patternType="solid">
          <bgColor rgb="FF377D53"/>
        </patternFill>
      </fill>
    </dxf>
    <dxf>
      <fill>
        <patternFill patternType="solid">
          <bgColor rgb="FFAF7129"/>
        </patternFill>
      </fill>
    </dxf>
    <dxf>
      <fill>
        <patternFill patternType="solid">
          <bgColor rgb="FFAF7129"/>
        </patternFill>
      </fill>
    </dxf>
    <dxf>
      <fill>
        <patternFill patternType="solid">
          <bgColor rgb="FFAF7129"/>
        </patternFill>
      </fill>
    </dxf>
    <dxf>
      <fill>
        <patternFill patternType="solid">
          <bgColor rgb="FFA64D76"/>
        </patternFill>
      </fill>
    </dxf>
    <dxf>
      <fill>
        <patternFill patternType="solid">
          <bgColor rgb="FFA64D76"/>
        </patternFill>
      </fill>
    </dxf>
    <dxf>
      <fill>
        <patternFill patternType="solid">
          <bgColor rgb="FF465AB6"/>
        </patternFill>
      </fill>
    </dxf>
    <dxf>
      <fill>
        <patternFill patternType="solid">
          <bgColor rgb="FF465AB6"/>
        </patternFill>
      </fill>
    </dxf>
    <dxf>
      <fill>
        <patternFill patternType="solid">
          <bgColor rgb="FF465AB6"/>
        </patternFill>
      </fill>
    </dxf>
    <dxf>
      <fill>
        <patternFill patternType="solid">
          <bgColor rgb="FF286A80"/>
        </patternFill>
      </fill>
    </dxf>
    <dxf>
      <fill>
        <patternFill patternType="solid">
          <bgColor rgb="FF286A80"/>
        </patternFill>
      </fill>
    </dxf>
    <dxf>
      <fill>
        <patternFill patternType="solid">
          <bgColor rgb="FF286A80"/>
        </patternFill>
      </fill>
    </dxf>
    <dxf>
      <fill>
        <patternFill patternType="solid">
          <bgColor rgb="FF286A80"/>
        </patternFill>
      </fill>
    </dxf>
    <dxf>
      <fill>
        <patternFill patternType="solid">
          <bgColor rgb="FF70529A"/>
        </patternFill>
      </fill>
    </dxf>
    <dxf>
      <fill>
        <patternFill patternType="solid">
          <bgColor rgb="FF70529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showGridLines="0" tabSelected="1" zoomScale="85" zoomScaleNormal="85" workbookViewId="0">
      <pane ySplit="7" topLeftCell="A8" activePane="bottomLeft" state="frozen"/>
      <selection pane="bottomLeft" activeCell="X24" sqref="X24"/>
    </sheetView>
  </sheetViews>
  <sheetFormatPr defaultRowHeight="14.25"/>
  <cols>
    <col min="1" max="1" width="12" customWidth="1"/>
    <col min="2" max="2" width="38" customWidth="1"/>
    <col min="3" max="3" width="13" customWidth="1"/>
    <col min="4" max="4" width="15" customWidth="1"/>
    <col min="5" max="7" width="9" customWidth="1"/>
    <col min="8" max="8" width="29" customWidth="1"/>
    <col min="9" max="22" width="6" customWidth="1"/>
  </cols>
  <sheetData>
    <row r="1" spans="1:22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 customHeight="1">
      <c r="A2" s="15" t="s">
        <v>1</v>
      </c>
      <c r="B2" s="15"/>
      <c r="C2" s="15"/>
      <c r="D2" s="15"/>
      <c r="E2" s="15"/>
      <c r="F2" s="15"/>
      <c r="G2" s="15"/>
      <c r="H2" s="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4" spans="1:22" ht="18" customHeight="1">
      <c r="A4" s="16" t="s">
        <v>2</v>
      </c>
      <c r="B4" s="16"/>
      <c r="C4" s="16"/>
      <c r="D4" s="16"/>
      <c r="E4" s="16" t="s">
        <v>3</v>
      </c>
      <c r="F4" s="16"/>
      <c r="G4" s="16"/>
      <c r="H4" s="16"/>
      <c r="I4" s="16" t="s">
        <v>4</v>
      </c>
      <c r="J4" s="16"/>
      <c r="K4" s="16"/>
      <c r="L4" s="16"/>
      <c r="M4" s="16"/>
      <c r="N4" s="16"/>
      <c r="O4" s="16" t="s">
        <v>5</v>
      </c>
      <c r="P4" s="16"/>
      <c r="Q4" s="16"/>
      <c r="R4" s="16"/>
      <c r="S4" s="16"/>
      <c r="T4" s="16"/>
      <c r="U4" s="16"/>
      <c r="V4" s="16"/>
    </row>
    <row r="6" spans="1:22" ht="26.1" customHeight="1">
      <c r="A6" s="18" t="s">
        <v>6</v>
      </c>
      <c r="B6" s="18"/>
      <c r="C6" s="18"/>
      <c r="D6" s="18"/>
      <c r="E6" s="18"/>
      <c r="F6" s="18"/>
      <c r="G6" s="18"/>
      <c r="H6" s="18"/>
      <c r="I6" s="18" t="s">
        <v>7</v>
      </c>
      <c r="J6" s="18"/>
      <c r="K6" s="18"/>
      <c r="L6" s="18"/>
      <c r="M6" s="18"/>
      <c r="N6" s="18"/>
      <c r="O6" s="18"/>
      <c r="P6" s="19" t="s">
        <v>8</v>
      </c>
      <c r="Q6" s="19"/>
      <c r="R6" s="19"/>
      <c r="S6" s="19"/>
      <c r="T6" s="19"/>
      <c r="U6" s="19"/>
      <c r="V6" s="19"/>
    </row>
    <row r="7" spans="1:22" ht="36" customHeight="1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3">
        <v>46288.5</v>
      </c>
      <c r="J7" s="3">
        <v>46293.5</v>
      </c>
      <c r="K7" s="3">
        <v>46294.5</v>
      </c>
      <c r="L7" s="3">
        <v>46295.5</v>
      </c>
      <c r="M7" s="3">
        <v>46296.5</v>
      </c>
      <c r="N7" s="3">
        <v>46297.5</v>
      </c>
      <c r="O7" s="3">
        <v>46298.5</v>
      </c>
      <c r="P7" s="3">
        <v>46299.5</v>
      </c>
      <c r="Q7" s="3">
        <v>46300.5</v>
      </c>
      <c r="R7" s="3">
        <v>46301.5</v>
      </c>
      <c r="S7" s="3">
        <v>46302.5</v>
      </c>
      <c r="T7" s="3">
        <v>46303.5</v>
      </c>
      <c r="U7" s="3">
        <v>46304.5</v>
      </c>
      <c r="V7" s="3">
        <v>46305.5</v>
      </c>
    </row>
    <row r="8" spans="1:22" ht="29.1" customHeight="1">
      <c r="A8" s="4" t="s">
        <v>17</v>
      </c>
      <c r="B8" s="5" t="s">
        <v>18</v>
      </c>
      <c r="C8" s="5" t="s">
        <v>19</v>
      </c>
      <c r="D8" s="5" t="s">
        <v>20</v>
      </c>
      <c r="E8" s="6">
        <v>46288.5</v>
      </c>
      <c r="F8" s="6">
        <v>46288.5</v>
      </c>
      <c r="G8" s="5">
        <f t="shared" ref="G8:G25" si="0">COUNTIFS($I$7:$V$7,"&gt;="&amp;E8,$I$7:$V$7,"&lt;="&amp;F8)</f>
        <v>1</v>
      </c>
      <c r="H8" s="5" t="s">
        <v>21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ht="29.1" customHeight="1">
      <c r="A9" s="4" t="s">
        <v>17</v>
      </c>
      <c r="B9" s="5" t="s">
        <v>22</v>
      </c>
      <c r="C9" s="5" t="s">
        <v>23</v>
      </c>
      <c r="D9" s="5" t="s">
        <v>24</v>
      </c>
      <c r="E9" s="6">
        <v>46288.5</v>
      </c>
      <c r="F9" s="6">
        <v>46293.5</v>
      </c>
      <c r="G9" s="5">
        <f t="shared" si="0"/>
        <v>2</v>
      </c>
      <c r="H9" s="5" t="s">
        <v>25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29.1" customHeight="1">
      <c r="A10" s="9" t="s">
        <v>26</v>
      </c>
      <c r="B10" s="5" t="s">
        <v>27</v>
      </c>
      <c r="C10" s="5" t="s">
        <v>24</v>
      </c>
      <c r="D10" s="5" t="s">
        <v>19</v>
      </c>
      <c r="E10" s="6">
        <v>46288.5</v>
      </c>
      <c r="F10" s="6">
        <v>46294.5</v>
      </c>
      <c r="G10" s="5">
        <f t="shared" si="0"/>
        <v>3</v>
      </c>
      <c r="H10" s="5" t="s">
        <v>28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29.1" customHeight="1">
      <c r="A11" s="9" t="s">
        <v>26</v>
      </c>
      <c r="B11" s="5" t="s">
        <v>29</v>
      </c>
      <c r="C11" s="5" t="s">
        <v>24</v>
      </c>
      <c r="D11" s="5" t="s">
        <v>19</v>
      </c>
      <c r="E11" s="6">
        <v>46293.5</v>
      </c>
      <c r="F11" s="6">
        <v>46295.5</v>
      </c>
      <c r="G11" s="5">
        <f t="shared" si="0"/>
        <v>3</v>
      </c>
      <c r="H11" s="5" t="s">
        <v>30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ht="29.1" customHeight="1">
      <c r="A12" s="9" t="s">
        <v>26</v>
      </c>
      <c r="B12" s="5" t="s">
        <v>31</v>
      </c>
      <c r="C12" s="5" t="s">
        <v>24</v>
      </c>
      <c r="D12" s="5" t="s">
        <v>32</v>
      </c>
      <c r="E12" s="6">
        <v>46294.5</v>
      </c>
      <c r="F12" s="6">
        <v>46296.5</v>
      </c>
      <c r="G12" s="5">
        <f t="shared" si="0"/>
        <v>3</v>
      </c>
      <c r="H12" s="5" t="s">
        <v>33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29.1" customHeight="1">
      <c r="A13" s="9" t="s">
        <v>26</v>
      </c>
      <c r="B13" s="5" t="s">
        <v>34</v>
      </c>
      <c r="C13" s="5" t="s">
        <v>24</v>
      </c>
      <c r="D13" s="5" t="s">
        <v>35</v>
      </c>
      <c r="E13" s="6">
        <v>46295.5</v>
      </c>
      <c r="F13" s="6">
        <v>46296.5</v>
      </c>
      <c r="G13" s="5">
        <f t="shared" si="0"/>
        <v>2</v>
      </c>
      <c r="H13" s="5" t="s">
        <v>36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ht="29.1" customHeight="1">
      <c r="A14" s="10" t="s">
        <v>37</v>
      </c>
      <c r="B14" s="5" t="s">
        <v>38</v>
      </c>
      <c r="C14" s="5" t="s">
        <v>19</v>
      </c>
      <c r="D14" s="5" t="s">
        <v>24</v>
      </c>
      <c r="E14" s="6">
        <v>46295.5</v>
      </c>
      <c r="F14" s="6">
        <v>46297.5</v>
      </c>
      <c r="G14" s="5">
        <f t="shared" si="0"/>
        <v>3</v>
      </c>
      <c r="H14" s="5" t="s">
        <v>39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29.1" customHeight="1">
      <c r="A15" s="10" t="s">
        <v>37</v>
      </c>
      <c r="B15" s="5" t="s">
        <v>40</v>
      </c>
      <c r="C15" s="5" t="s">
        <v>19</v>
      </c>
      <c r="D15" s="5" t="s">
        <v>24</v>
      </c>
      <c r="E15" s="6">
        <v>46297.5</v>
      </c>
      <c r="F15" s="6">
        <v>46300.5</v>
      </c>
      <c r="G15" s="5">
        <f t="shared" si="0"/>
        <v>4</v>
      </c>
      <c r="H15" s="5" t="s">
        <v>41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ht="29.1" customHeight="1">
      <c r="A16" s="10" t="s">
        <v>37</v>
      </c>
      <c r="B16" s="5" t="s">
        <v>42</v>
      </c>
      <c r="C16" s="5" t="s">
        <v>19</v>
      </c>
      <c r="D16" s="5" t="s">
        <v>32</v>
      </c>
      <c r="E16" s="6">
        <v>46300.5</v>
      </c>
      <c r="F16" s="6">
        <v>46301.5</v>
      </c>
      <c r="G16" s="5">
        <f t="shared" si="0"/>
        <v>2</v>
      </c>
      <c r="H16" s="5" t="s">
        <v>43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29.1" customHeight="1">
      <c r="A17" s="11" t="s">
        <v>44</v>
      </c>
      <c r="B17" s="5" t="s">
        <v>45</v>
      </c>
      <c r="C17" s="5" t="s">
        <v>32</v>
      </c>
      <c r="D17" s="5" t="s">
        <v>24</v>
      </c>
      <c r="E17" s="6">
        <v>46296.5</v>
      </c>
      <c r="F17" s="6">
        <v>46298.5</v>
      </c>
      <c r="G17" s="5">
        <f t="shared" si="0"/>
        <v>3</v>
      </c>
      <c r="H17" s="5" t="s">
        <v>46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ht="29.1" customHeight="1">
      <c r="A18" s="11" t="s">
        <v>44</v>
      </c>
      <c r="B18" s="5" t="s">
        <v>47</v>
      </c>
      <c r="C18" s="5" t="s">
        <v>32</v>
      </c>
      <c r="D18" s="5" t="s">
        <v>19</v>
      </c>
      <c r="E18" s="6">
        <v>46298.5</v>
      </c>
      <c r="F18" s="6">
        <v>46301.5</v>
      </c>
      <c r="G18" s="5">
        <f t="shared" si="0"/>
        <v>4</v>
      </c>
      <c r="H18" s="5" t="s">
        <v>48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29.1" customHeight="1">
      <c r="A19" s="12" t="s">
        <v>49</v>
      </c>
      <c r="B19" s="5" t="s">
        <v>50</v>
      </c>
      <c r="C19" s="5" t="s">
        <v>23</v>
      </c>
      <c r="D19" s="5" t="s">
        <v>24</v>
      </c>
      <c r="E19" s="6">
        <v>46293.5</v>
      </c>
      <c r="F19" s="6">
        <v>46296.5</v>
      </c>
      <c r="G19" s="5">
        <f t="shared" si="0"/>
        <v>4</v>
      </c>
      <c r="H19" s="5" t="s">
        <v>51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29.1" customHeight="1">
      <c r="A20" s="12" t="s">
        <v>49</v>
      </c>
      <c r="B20" s="5" t="s">
        <v>52</v>
      </c>
      <c r="C20" s="5" t="s">
        <v>23</v>
      </c>
      <c r="D20" s="5" t="s">
        <v>19</v>
      </c>
      <c r="E20" s="6">
        <v>46296.5</v>
      </c>
      <c r="F20" s="6">
        <v>46299.5</v>
      </c>
      <c r="G20" s="5">
        <f t="shared" si="0"/>
        <v>4</v>
      </c>
      <c r="H20" s="5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29.1" customHeight="1">
      <c r="A21" s="12" t="s">
        <v>49</v>
      </c>
      <c r="B21" s="5" t="s">
        <v>54</v>
      </c>
      <c r="C21" s="5" t="s">
        <v>23</v>
      </c>
      <c r="D21" s="5" t="s">
        <v>32</v>
      </c>
      <c r="E21" s="6">
        <v>46299.5</v>
      </c>
      <c r="F21" s="6">
        <v>46302.5</v>
      </c>
      <c r="G21" s="5">
        <f t="shared" si="0"/>
        <v>4</v>
      </c>
      <c r="H21" s="5" t="s">
        <v>55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ht="29.1" customHeight="1">
      <c r="A22" s="13" t="s">
        <v>56</v>
      </c>
      <c r="B22" s="5" t="s">
        <v>57</v>
      </c>
      <c r="C22" s="5" t="s">
        <v>19</v>
      </c>
      <c r="D22" s="5" t="s">
        <v>58</v>
      </c>
      <c r="E22" s="6">
        <v>46301.5</v>
      </c>
      <c r="F22" s="6">
        <v>46302.5</v>
      </c>
      <c r="G22" s="5">
        <f t="shared" si="0"/>
        <v>2</v>
      </c>
      <c r="H22" s="5" t="s">
        <v>59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29.1" customHeight="1">
      <c r="A23" s="13" t="s">
        <v>56</v>
      </c>
      <c r="B23" s="5" t="s">
        <v>60</v>
      </c>
      <c r="C23" s="5" t="s">
        <v>23</v>
      </c>
      <c r="D23" s="5" t="s">
        <v>20</v>
      </c>
      <c r="E23" s="6">
        <v>46302.5</v>
      </c>
      <c r="F23" s="6">
        <v>46304.5</v>
      </c>
      <c r="G23" s="5">
        <f t="shared" si="0"/>
        <v>3</v>
      </c>
      <c r="H23" s="5" t="s">
        <v>61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29.1" customHeight="1">
      <c r="A24" s="13" t="s">
        <v>56</v>
      </c>
      <c r="B24" s="5" t="s">
        <v>62</v>
      </c>
      <c r="C24" s="5" t="s">
        <v>32</v>
      </c>
      <c r="D24" s="5" t="s">
        <v>63</v>
      </c>
      <c r="E24" s="6">
        <v>46303.5</v>
      </c>
      <c r="F24" s="6">
        <v>46305.5</v>
      </c>
      <c r="G24" s="5">
        <f t="shared" si="0"/>
        <v>3</v>
      </c>
      <c r="H24" s="5" t="s">
        <v>64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29.1" customHeight="1">
      <c r="A25" s="13" t="s">
        <v>56</v>
      </c>
      <c r="B25" s="5" t="s">
        <v>65</v>
      </c>
      <c r="C25" s="5" t="s">
        <v>24</v>
      </c>
      <c r="D25" s="5" t="s">
        <v>20</v>
      </c>
      <c r="E25" s="6">
        <v>46305.5</v>
      </c>
      <c r="F25" s="6">
        <v>46305.5</v>
      </c>
      <c r="G25" s="5">
        <f t="shared" si="0"/>
        <v>1</v>
      </c>
      <c r="H25" s="5" t="s">
        <v>66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7" spans="1:22" ht="33.950000000000003" customHeight="1">
      <c r="A27" s="20" t="s">
        <v>68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30" customHeight="1">
      <c r="A28" s="17" t="s">
        <v>67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</sheetData>
  <mergeCells count="11">
    <mergeCell ref="A28:V28"/>
    <mergeCell ref="O4:V4"/>
    <mergeCell ref="I6:O6"/>
    <mergeCell ref="P6:V6"/>
    <mergeCell ref="A6:H6"/>
    <mergeCell ref="A27:V27"/>
    <mergeCell ref="A1:H1"/>
    <mergeCell ref="A2:H2"/>
    <mergeCell ref="A4:D4"/>
    <mergeCell ref="E4:H4"/>
    <mergeCell ref="I4:N4"/>
  </mergeCells>
  <phoneticPr fontId="17" type="noConversion"/>
  <conditionalFormatting sqref="I8:V8">
    <cfRule type="expression" dxfId="17" priority="1">
      <formula>AND(I$7&gt;=$E8,I$7&lt;=$F8)</formula>
    </cfRule>
  </conditionalFormatting>
  <conditionalFormatting sqref="I9:V9">
    <cfRule type="expression" dxfId="16" priority="2">
      <formula>AND(I$7&gt;=$E9,I$7&lt;=$F9)</formula>
    </cfRule>
  </conditionalFormatting>
  <conditionalFormatting sqref="I10:V10">
    <cfRule type="expression" dxfId="15" priority="3">
      <formula>AND(I$7&gt;=$E10,I$7&lt;=$F10)</formula>
    </cfRule>
  </conditionalFormatting>
  <conditionalFormatting sqref="I11:V11">
    <cfRule type="expression" dxfId="14" priority="4">
      <formula>AND(I$7&gt;=$E11,I$7&lt;=$F11)</formula>
    </cfRule>
  </conditionalFormatting>
  <conditionalFormatting sqref="I12:V12">
    <cfRule type="expression" dxfId="13" priority="5">
      <formula>AND(I$7&gt;=$E12,I$7&lt;=$F12)</formula>
    </cfRule>
  </conditionalFormatting>
  <conditionalFormatting sqref="I13:V13">
    <cfRule type="expression" dxfId="12" priority="6">
      <formula>AND(I$7&gt;=$E13,I$7&lt;=$F13)</formula>
    </cfRule>
  </conditionalFormatting>
  <conditionalFormatting sqref="I14:V14">
    <cfRule type="expression" dxfId="11" priority="7">
      <formula>AND(I$7&gt;=$E14,I$7&lt;=$F14)</formula>
    </cfRule>
  </conditionalFormatting>
  <conditionalFormatting sqref="I15:V15">
    <cfRule type="expression" dxfId="10" priority="8">
      <formula>AND(I$7&gt;=$E15,I$7&lt;=$F15)</formula>
    </cfRule>
  </conditionalFormatting>
  <conditionalFormatting sqref="I16:V16">
    <cfRule type="expression" dxfId="9" priority="9">
      <formula>AND(I$7&gt;=$E16,I$7&lt;=$F16)</formula>
    </cfRule>
  </conditionalFormatting>
  <conditionalFormatting sqref="I17:V17">
    <cfRule type="expression" dxfId="8" priority="10">
      <formula>AND(I$7&gt;=$E17,I$7&lt;=$F17)</formula>
    </cfRule>
  </conditionalFormatting>
  <conditionalFormatting sqref="I18:V18">
    <cfRule type="expression" dxfId="7" priority="11">
      <formula>AND(I$7&gt;=$E18,I$7&lt;=$F18)</formula>
    </cfRule>
  </conditionalFormatting>
  <conditionalFormatting sqref="I19:V19">
    <cfRule type="expression" dxfId="6" priority="12">
      <formula>AND(I$7&gt;=$E19,I$7&lt;=$F19)</formula>
    </cfRule>
  </conditionalFormatting>
  <conditionalFormatting sqref="I20:V20">
    <cfRule type="expression" dxfId="5" priority="13">
      <formula>AND(I$7&gt;=$E20,I$7&lt;=$F20)</formula>
    </cfRule>
  </conditionalFormatting>
  <conditionalFormatting sqref="I21:V21">
    <cfRule type="expression" dxfId="4" priority="14">
      <formula>AND(I$7&gt;=$E21,I$7&lt;=$F21)</formula>
    </cfRule>
  </conditionalFormatting>
  <conditionalFormatting sqref="I22:V22">
    <cfRule type="expression" dxfId="3" priority="15">
      <formula>AND(I$7&gt;=$E22,I$7&lt;=$F22)</formula>
    </cfRule>
  </conditionalFormatting>
  <conditionalFormatting sqref="I23:V23">
    <cfRule type="expression" dxfId="2" priority="16">
      <formula>AND(I$7&gt;=$E23,I$7&lt;=$F23)</formula>
    </cfRule>
  </conditionalFormatting>
  <conditionalFormatting sqref="I24:V24">
    <cfRule type="expression" dxfId="1" priority="17">
      <formula>AND(I$7&gt;=$E24,I$7&lt;=$F24)</formula>
    </cfRule>
  </conditionalFormatting>
  <conditionalFormatting sqref="I25:V25">
    <cfRule type="expression" dxfId="0" priority="18">
      <formula>AND(I$7&gt;=$E25,I$7&lt;=$F25)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2주 간트 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2026-09-23T05:02:29Z</dcterms:modified>
</cp:coreProperties>
</file>